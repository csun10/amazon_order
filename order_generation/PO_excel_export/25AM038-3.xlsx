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5B8EA257-DBC7-4EAF-84EB-7B908A6D83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D10" i="1"/>
  <c r="F7" i="1"/>
  <c r="F10" i="1" l="1"/>
</calcChain>
</file>

<file path=xl/sharedStrings.xml><?xml version="1.0" encoding="utf-8"?>
<sst xmlns="http://schemas.openxmlformats.org/spreadsheetml/2006/main" count="47" uniqueCount="44">
  <si>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</si>
  <si>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</si>
  <si>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</si>
  <si>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XX印刷厂</t>
  </si>
  <si>
    <t>订单号</t>
  </si>
  <si>
    <t>25AM038-3</t>
  </si>
  <si>
    <t>电话：</t>
  </si>
  <si>
    <t>0574-27889688</t>
  </si>
  <si>
    <t>日期</t>
  </si>
  <si>
    <t>2025年11月11日</t>
  </si>
  <si>
    <t>联系人：</t>
  </si>
  <si>
    <t>订单安排人</t>
  </si>
  <si>
    <t>孙诚昱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</si>
  <si>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</si>
  <si>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</si>
  <si>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</si>
  <si>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</si>
  <si>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</si>
  <si>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</si>
  <si>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</si>
  <si>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EC404-2-4</t>
  </si>
  <si>
    <t>纸箱</t>
  </si>
  <si>
    <t>以上价格含税运含包装</t>
  </si>
  <si>
    <t>进仓地址：</t>
  </si>
  <si>
    <t>浙江宁波市余姚市陆埠镇五马工业区创利西路15号</t>
  </si>
  <si>
    <t>付款方式:</t>
  </si>
  <si>
    <t>凭增值税发票出货后45天付款</t>
  </si>
  <si>
    <t>色卡</t>
  </si>
  <si>
    <t>Logo</t>
  </si>
  <si>
    <t>交货时间:</t>
  </si>
  <si>
    <t>2025年11月18日</t>
  </si>
  <si>
    <t>箱规:</t>
  </si>
  <si>
    <t>产前确认样:</t>
  </si>
  <si>
    <t>出货样:</t>
  </si>
  <si>
    <t>注意事项:</t>
  </si>
  <si>
    <t>放2%余量</t>
  </si>
  <si>
    <t>产品需贴标，外箱贴亚马逊标</t>
  </si>
  <si>
    <t>注意表面清洁无油污</t>
  </si>
  <si>
    <t>箱规单边不超过60cm</t>
  </si>
  <si>
    <t>大货样每款每色2只</t>
  </si>
  <si>
    <t>宁波品秀美容科技有限公司</t>
  </si>
  <si>
    <t>----------------------</t>
  </si>
  <si>
    <r>
      <rPr>
        <sz val="12"/>
        <rFont val="微软雅黑"/>
        <family val="2"/>
        <charset val="134"/>
      </rPr>
      <t>洗头刷包装原色细针单只，</t>
    </r>
    <r>
      <rPr>
        <sz val="12"/>
        <rFont val="Arial"/>
        <family val="2"/>
      </rPr>
      <t>FSC,350g</t>
    </r>
    <r>
      <rPr>
        <sz val="12"/>
        <rFont val="微软雅黑"/>
        <family val="2"/>
        <charset val="134"/>
      </rPr>
      <t>白卡哑膜</t>
    </r>
    <phoneticPr fontId="11" type="noConversion"/>
  </si>
  <si>
    <r>
      <rPr>
        <sz val="12"/>
        <rFont val="宋体"/>
        <family val="2"/>
        <charset val="134"/>
      </rPr>
      <t>洗头刷包装原色细针</t>
    </r>
    <r>
      <rPr>
        <sz val="12"/>
        <color rgb="FFFF0000"/>
        <rFont val="宋体"/>
        <family val="3"/>
        <charset val="134"/>
      </rPr>
      <t>双只</t>
    </r>
    <r>
      <rPr>
        <sz val="12"/>
        <rFont val="宋体"/>
        <family val="2"/>
        <charset val="134"/>
      </rPr>
      <t>，</t>
    </r>
    <r>
      <rPr>
        <sz val="12"/>
        <rFont val="Arial"/>
        <family val="2"/>
      </rPr>
      <t>FSC,350g</t>
    </r>
    <r>
      <rPr>
        <sz val="12"/>
        <rFont val="宋体"/>
        <family val="2"/>
        <charset val="134"/>
      </rPr>
      <t>白卡哑膜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</si>
</sst>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微软雅黑"/>
      <family val="2"/>
      <charset val="134"/>
    </font>
    <font>
      <sz val="12"/>
      <name val="Arial"/>
      <family val="2"/>
      <charset val="134"/>
    </font>
    <font>
      <sz val="12"/>
      <name val="宋体"/>
      <family val="2"/>
      <charset val="134"/>
    </font>
    <font>
      <sz val="12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4192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4" zoomScale="85" zoomScaleNormal="85" workbookViewId="0">
      <selection activeCell="J9" sqref="J9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3</v>
      </c>
      <c r="C5" s="16"/>
      <c r="D5" s="16"/>
      <c r="E5" s="16"/>
      <c r="F5" s="16" t="s">
        <v>11</v>
      </c>
      <c r="G5" s="18" t="s">
        <v>12</v>
      </c>
      <c r="H5" s="16"/>
    </row>
    <row r="6" spans="1:8" s="2" customFormat="1" ht="23.25" customHeight="1">
      <c r="A6" s="19" t="s">
        <v>13</v>
      </c>
      <c r="B6" s="19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20"/>
    </row>
    <row r="7" spans="1:8" s="2" customFormat="1" ht="100.05" customHeight="1">
      <c r="A7" s="27" t="s">
        <v>20</v>
      </c>
      <c r="B7" s="27"/>
      <c r="C7" s="31" t="s">
        <v>42</v>
      </c>
      <c r="D7" s="27">
        <v>2400</v>
      </c>
      <c r="E7" s="27">
        <v>0.45</v>
      </c>
      <c r="F7" s="27">
        <f>D7*E7</f>
        <v>1080</v>
      </c>
      <c r="G7" s="27" t="s">
        <v>21</v>
      </c>
      <c r="H7" s="20"/>
    </row>
    <row r="8" spans="1:8" s="2" customFormat="1" ht="100.2" customHeight="1">
      <c r="A8" s="27"/>
      <c r="B8" s="27"/>
      <c r="C8" s="31" t="s">
        <v>43</v>
      </c>
      <c r="D8" s="27">
        <v>600</v>
      </c>
      <c r="E8" s="27">
        <v>0.45</v>
      </c>
      <c r="F8" s="27">
        <f>D8*E8</f>
        <v>270</v>
      </c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3000</v>
      </c>
      <c r="E10" s="19"/>
      <c r="F10" s="19">
        <f>SUM(F7:F8)</f>
        <v>1350</v>
      </c>
      <c r="G10" s="19"/>
      <c r="H10" s="21"/>
    </row>
    <row r="11" spans="1:8" s="3" customFormat="1" ht="16.5" customHeight="1">
      <c r="A11" s="21"/>
      <c r="B11" s="22" t="s">
        <v>22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23</v>
      </c>
      <c r="B12" s="25" t="s">
        <v>24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25</v>
      </c>
      <c r="B13" s="25" t="s">
        <v>26</v>
      </c>
      <c r="C13" s="25"/>
      <c r="D13" s="25"/>
      <c r="E13" s="25"/>
      <c r="F13" s="25" t="s">
        <v>27</v>
      </c>
      <c r="G13" s="25" t="s">
        <v>28</v>
      </c>
      <c r="H13" s="25"/>
    </row>
    <row r="14" spans="1:8" s="3" customFormat="1" ht="17.25" customHeight="1">
      <c r="A14" s="25" t="s">
        <v>29</v>
      </c>
      <c r="B14" s="25" t="s">
        <v>30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31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32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33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34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35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 t="s">
        <v>36</v>
      </c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 t="s">
        <v>37</v>
      </c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 t="s">
        <v>38</v>
      </c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 t="s">
        <v>39</v>
      </c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40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41</v>
      </c>
      <c r="C70" s="13"/>
      <c r="D70" s="13"/>
      <c r="E70" s="15" t="s">
        <v>41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2025-11-11T02:46:24Z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
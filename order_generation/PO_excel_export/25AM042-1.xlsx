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5926ECB2-5950-4B10-AF0A-D04F95315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F7" i="1"/>
  <c r="F9" i="1" s="1"/>
</calcChain>
</file>

<file path=xl/sharedStrings.xml><?xml version="1.0" encoding="utf-8"?>
<sst xmlns="http://schemas.openxmlformats.org/spreadsheetml/2006/main" count="49" uniqueCount="47">
  <si>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</si>
  <si>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</si>
  <si>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</si>
  <si>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</si>
  <si>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</si>
  <si>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25AM042-1</t>
  </si>
  <si>
    <t>电话：</t>
  </si>
  <si>
    <t>+86-574-27889688</t>
  </si>
  <si>
    <t>日期</t>
  </si>
  <si>
    <t>2025年12月16日</t>
  </si>
  <si>
    <t>联系人：</t>
  </si>
  <si>
    <t>多多</t>
  </si>
  <si>
    <t>订单安排人</t>
  </si>
  <si>
    <t>Laura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</si>
  <si>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</si>
  <si>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</si>
  <si>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</si>
  <si>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</si>
  <si>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</si>
  <si>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</si>
  <si>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</si>
  <si>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Elasticbrush01</t>
  </si>
  <si>
    <t>白卡盒，卡盒我司供，箱规120/24</t>
  </si>
  <si>
    <t>以上价格含税运含包装</t>
  </si>
  <si>
    <t>进仓地址：</t>
  </si>
  <si>
    <t>浙江宁波市余姚市陆埠镇五马工业区创利西路15号</t>
  </si>
  <si>
    <t>付款方式:</t>
  </si>
  <si>
    <t>凭发票，出货45天付款，含税含运含进仓</t>
  </si>
  <si>
    <t>色卡</t>
  </si>
  <si>
    <t>Logo</t>
  </si>
  <si>
    <t>交货时间:</t>
  </si>
  <si>
    <t>2026年01月30日</t>
  </si>
  <si>
    <t>箱规:</t>
  </si>
  <si>
    <t>箱规120/24</t>
  </si>
  <si>
    <t>产前确认样:</t>
  </si>
  <si>
    <t>出货样:</t>
  </si>
  <si>
    <t>注意事项:</t>
  </si>
  <si>
    <t>快速弯折120度，快速旋转120度不得断裂（20个样品最多一个）</t>
  </si>
  <si>
    <t>注意柄部干净整洁，logo处清洁摸上去没有油</t>
  </si>
  <si>
    <t>外箱单边不得超过60cm，重量不得超过20公斤</t>
  </si>
  <si>
    <t>尼龙丝针注意不要大量明显弯曲</t>
  </si>
  <si>
    <t>染头不能有坑(2个以上），（有坑一律次品）</t>
  </si>
  <si>
    <t>染头不得粘连</t>
  </si>
  <si>
    <t>每个外箱需要贴2个标签FBA标签一个，货代标签一个</t>
  </si>
  <si>
    <t>宁波品秀美容科技有限公司</t>
  </si>
  <si>
    <t>----------------------</t>
  </si>
  <si>
    <r>
      <rPr>
        <sz val="12"/>
        <rFont val="微软雅黑"/>
        <family val="2"/>
        <charset val="134"/>
      </rPr>
      <t>梳身半降解材料（用新材料防断裂）加麦秸秆</t>
    </r>
    <r>
      <rPr>
        <sz val="12"/>
        <rFont val="Arial"/>
        <family val="2"/>
      </rPr>
      <t>5645 C</t>
    </r>
    <r>
      <rPr>
        <sz val="12"/>
        <rFont val="微软雅黑"/>
        <family val="2"/>
        <charset val="134"/>
      </rPr>
      <t>绿色（</t>
    </r>
    <r>
      <rPr>
        <sz val="12"/>
        <color rgb="FFFF0000"/>
        <rFont val="微软雅黑"/>
        <family val="2"/>
        <charset val="134"/>
      </rPr>
      <t>注意大货注塑颜色，必须与2025.5.30签样一样</t>
    </r>
    <r>
      <rPr>
        <sz val="12"/>
        <rFont val="微软雅黑"/>
        <family val="2"/>
        <charset val="134"/>
      </rPr>
      <t>），尼龙丝</t>
    </r>
    <r>
      <rPr>
        <sz val="12"/>
        <rFont val="Arial"/>
        <family val="2"/>
      </rPr>
      <t>0.8mm7529U</t>
    </r>
    <r>
      <rPr>
        <sz val="12"/>
        <rFont val="微软雅黑"/>
        <family val="2"/>
        <charset val="134"/>
      </rPr>
      <t>灰色尼龙丝颜色同</t>
    </r>
    <r>
      <rPr>
        <sz val="12"/>
        <rFont val="Arial"/>
        <family val="2"/>
      </rPr>
      <t>beter</t>
    </r>
    <r>
      <rPr>
        <sz val="12"/>
        <rFont val="微软雅黑"/>
        <family val="2"/>
        <charset val="134"/>
      </rPr>
      <t>，棕色</t>
    </r>
    <r>
      <rPr>
        <sz val="12"/>
        <rFont val="Arial"/>
        <family val="2"/>
      </rPr>
      <t xml:space="preserve"> ecoed logo</t>
    </r>
    <r>
      <rPr>
        <sz val="12"/>
        <rFont val="微软雅黑"/>
        <family val="2"/>
        <charset val="134"/>
      </rPr>
      <t>颜色同</t>
    </r>
    <r>
      <rPr>
        <sz val="12"/>
        <rFont val="Arial"/>
        <family val="2"/>
      </rPr>
      <t>beter</t>
    </r>
    <r>
      <rPr>
        <sz val="12"/>
        <rFont val="微软雅黑"/>
        <family val="2"/>
        <charset val="134"/>
      </rPr>
      <t>！染头颜色同梳体</t>
    </r>
    <r>
      <rPr>
        <sz val="12"/>
        <rFont val="Arial"/>
        <family val="2"/>
      </rPr>
      <t xml:space="preserve">. </t>
    </r>
    <r>
      <rPr>
        <sz val="12"/>
        <rFont val="微软雅黑"/>
        <family val="2"/>
        <charset val="134"/>
      </rPr>
      <t>包装方式：白卡盒，卡盒我司供，箱规</t>
    </r>
    <r>
      <rPr>
        <sz val="12"/>
        <rFont val="Arial"/>
        <family val="2"/>
      </rPr>
      <t>120/24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</si>
</sst>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668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7" zoomScale="85" zoomScaleNormal="85" workbookViewId="0">
      <selection activeCell="C8" sqref="C8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140.4" customHeight="1">
      <c r="A7" s="27" t="s">
        <v>21</v>
      </c>
      <c r="B7" s="27"/>
      <c r="C7" s="31" t="s">
        <v>46</v>
      </c>
      <c r="D7" s="27">
        <v>12000</v>
      </c>
      <c r="E7" s="27">
        <v>3.85</v>
      </c>
      <c r="F7" s="27">
        <f>D7*E7</f>
        <v>46200</v>
      </c>
      <c r="G7" s="27" t="s">
        <v>22</v>
      </c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3" customFormat="1" ht="17.25" customHeight="1">
      <c r="A9" s="19"/>
      <c r="B9" s="19"/>
      <c r="C9" s="19"/>
      <c r="D9" s="19">
        <f>SUM(D7:D8)</f>
        <v>12000</v>
      </c>
      <c r="E9" s="19"/>
      <c r="F9" s="19">
        <f>SUM(F7:F7)</f>
        <v>46200</v>
      </c>
      <c r="G9" s="19"/>
      <c r="H9" s="21"/>
    </row>
    <row r="10" spans="1:8" s="3" customFormat="1" ht="16.5" customHeight="1">
      <c r="A10" s="21"/>
      <c r="B10" s="22" t="s">
        <v>23</v>
      </c>
      <c r="C10" s="23"/>
      <c r="D10" s="23"/>
      <c r="E10" s="24"/>
      <c r="F10" s="23"/>
      <c r="G10" s="23"/>
      <c r="H10" s="23"/>
    </row>
    <row r="11" spans="1:8" s="3" customFormat="1" ht="17.25" customHeight="1">
      <c r="A11" s="25" t="s">
        <v>24</v>
      </c>
      <c r="B11" s="25" t="s">
        <v>25</v>
      </c>
      <c r="C11" s="25"/>
      <c r="D11" s="25"/>
      <c r="E11" s="25"/>
      <c r="F11" s="25"/>
      <c r="G11" s="25"/>
      <c r="H11" s="25"/>
    </row>
    <row r="12" spans="1:8" s="3" customFormat="1" ht="17.25" customHeight="1">
      <c r="A12" s="25" t="s">
        <v>26</v>
      </c>
      <c r="B12" s="25" t="s">
        <v>27</v>
      </c>
      <c r="C12" s="25"/>
      <c r="D12" s="25"/>
      <c r="E12" s="25"/>
      <c r="F12" s="25" t="s">
        <v>28</v>
      </c>
      <c r="G12" s="25" t="s">
        <v>29</v>
      </c>
      <c r="H12" s="25"/>
    </row>
    <row r="13" spans="1:8" s="3" customFormat="1" ht="17.25" customHeight="1">
      <c r="A13" s="25" t="s">
        <v>30</v>
      </c>
      <c r="B13" s="25" t="s">
        <v>31</v>
      </c>
      <c r="C13" s="25"/>
      <c r="D13" s="25"/>
      <c r="E13" s="25"/>
      <c r="F13" s="25"/>
      <c r="G13" s="25"/>
      <c r="H13" s="25"/>
    </row>
    <row r="14" spans="1:8" s="3" customFormat="1" ht="17.25" customHeight="1">
      <c r="A14" s="25" t="s">
        <v>32</v>
      </c>
      <c r="B14" s="25" t="s">
        <v>33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34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35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36</v>
      </c>
      <c r="B17" s="25"/>
      <c r="C17" s="25"/>
      <c r="D17" s="25"/>
      <c r="E17" s="25"/>
      <c r="F17" s="25"/>
      <c r="G17" s="25"/>
      <c r="H17" s="25"/>
    </row>
    <row r="18" spans="1:9" s="4" customFormat="1" ht="17.25" customHeight="1">
      <c r="A18" s="25" t="s">
        <v>37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38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39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40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 t="s">
        <v>41</v>
      </c>
      <c r="B22" s="25"/>
      <c r="C22" s="25"/>
      <c r="D22" s="25"/>
      <c r="E22" s="25"/>
      <c r="F22" s="25"/>
      <c r="G22" s="25"/>
      <c r="H22" s="25"/>
    </row>
    <row r="23" spans="1:9" s="4" customFormat="1" ht="20.399999999999999" customHeight="1">
      <c r="A23" s="25" t="s">
        <v>42</v>
      </c>
      <c r="B23" s="25"/>
      <c r="C23" s="25"/>
      <c r="D23" s="25"/>
      <c r="E23" s="25"/>
      <c r="F23" s="25"/>
      <c r="G23" s="25"/>
      <c r="H23" s="25"/>
      <c r="I23" s="5"/>
    </row>
    <row r="24" spans="1:9" s="4" customFormat="1" ht="20.399999999999999" customHeight="1">
      <c r="A24" s="25" t="s">
        <v>43</v>
      </c>
      <c r="B24" s="25"/>
      <c r="C24" s="25"/>
      <c r="D24" s="25"/>
      <c r="E24" s="25"/>
      <c r="F24" s="25"/>
      <c r="G24" s="25"/>
      <c r="H24" s="25"/>
      <c r="I24" s="5"/>
    </row>
    <row r="25" spans="1:9" s="4" customFormat="1" ht="17.25" customHeight="1">
      <c r="A25" s="25"/>
      <c r="B25" s="25"/>
      <c r="C25" s="25"/>
      <c r="D25" s="25"/>
      <c r="E25" s="25"/>
      <c r="F25" s="25"/>
      <c r="G25" s="25"/>
      <c r="H25" s="2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5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7.25" customHeight="1">
      <c r="A32" s="25"/>
      <c r="B32" s="25"/>
      <c r="C32" s="25"/>
      <c r="D32" s="25"/>
      <c r="E32" s="25"/>
      <c r="F32" s="25"/>
      <c r="G32" s="25"/>
      <c r="H32" s="25"/>
    </row>
    <row r="33" spans="1:8" s="6" customFormat="1" ht="21" customHeight="1">
      <c r="H33" s="14"/>
    </row>
    <row r="37" spans="1:8" ht="13.2">
      <c r="H37" s="14"/>
    </row>
    <row r="42" spans="1:8" ht="15.75" customHeight="1">
      <c r="A42" s="10"/>
      <c r="B42" s="12"/>
    </row>
    <row r="43" spans="1:8" ht="15.75" customHeight="1">
      <c r="A43" s="10"/>
      <c r="B43" s="10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1"/>
      <c r="B52" s="11"/>
    </row>
    <row r="53" spans="1:2" ht="15.75" customHeight="1">
      <c r="A53" s="10"/>
      <c r="B53" s="10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2"/>
    </row>
    <row r="68" spans="1:8" ht="17.25" customHeight="1">
      <c r="B68" s="8" t="s">
        <v>44</v>
      </c>
      <c r="C68" s="8"/>
      <c r="D68" s="8"/>
      <c r="E68" s="8" t="s">
        <v>3</v>
      </c>
      <c r="F68" s="9"/>
      <c r="G68" s="14"/>
    </row>
    <row r="69" spans="1:8" ht="23.25" customHeight="1">
      <c r="B69" s="15" t="s">
        <v>45</v>
      </c>
      <c r="C69" s="13"/>
      <c r="D69" s="13"/>
      <c r="E69" s="15" t="s">
        <v>45</v>
      </c>
      <c r="F69" s="13"/>
    </row>
    <row r="79" spans="1:8" ht="13.2">
      <c r="H79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2025-12-16T01:28:38Z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
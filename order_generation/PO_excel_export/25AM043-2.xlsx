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AA941253-375C-40A0-AE47-3825B028E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8" i="1"/>
  <c r="F7" i="1"/>
  <c r="F10" i="1" l="1"/>
</calcChain>
</file>

<file path=xl/sharedStrings.xml><?xml version="1.0" encoding="utf-8"?>
<sst xmlns="http://schemas.openxmlformats.org/spreadsheetml/2006/main" count="45" uniqueCount="41">
  <si>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</si>
  <si>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</si>
  <si>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</si>
  <si>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义乌市一柠饰品有限公司</t>
  </si>
  <si>
    <t>订单号</t>
  </si>
  <si>
    <t>25AM043-2</t>
  </si>
  <si>
    <t>电话：</t>
  </si>
  <si>
    <t>0574-27889688</t>
  </si>
  <si>
    <t>日期</t>
  </si>
  <si>
    <t>2025年12月16日</t>
  </si>
  <si>
    <t>联系人：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</si>
  <si>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</si>
  <si>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</si>
  <si>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</si>
  <si>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</si>
  <si>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</si>
  <si>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</si>
  <si>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</si>
  <si>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</si>
  <si>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</si>
  <si>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EEHB-NBB-1C</t>
  </si>
  <si>
    <t>浅咖色</t>
  </si>
  <si>
    <t>EEHB-NBB-1B</t>
  </si>
  <si>
    <t>黑色</t>
  </si>
  <si>
    <t>以上价格含税运含包装</t>
  </si>
  <si>
    <t>进仓地址：</t>
  </si>
  <si>
    <t>瑾秀地址：浙江宁波市余姚市陆埠镇五马工业区创利西路 15 号 多多 15258337865</t>
  </si>
  <si>
    <t>付款方式:</t>
  </si>
  <si>
    <t>开专票，价格已含税运</t>
  </si>
  <si>
    <t>色卡</t>
  </si>
  <si>
    <t>Logo</t>
  </si>
  <si>
    <t>交货时间:</t>
  </si>
  <si>
    <t>2025年12月31日</t>
  </si>
  <si>
    <t>箱规:</t>
  </si>
  <si>
    <t>产前确认样:</t>
  </si>
  <si>
    <t>出货样:</t>
  </si>
  <si>
    <t>注意事项:</t>
  </si>
  <si>
    <t>义乌市一柠饰品有限公司
税号:91330782MA2HQR5A51
对公账号:201000320634668
开户行:浙江义乌农村商业银行股份有限公司鹏城支行</t>
  </si>
  <si>
    <t>宁波品秀美容科技有限公司</t>
  </si>
  <si>
    <t>----------------------</t>
  </si>
  <si>
    <t>每一组一条黑色一条咖色，订纸卡，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</si>
</sst>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562100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362075" cy="1266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F9" sqref="F9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/>
      <c r="C5" s="16"/>
      <c r="D5" s="16"/>
      <c r="E5" s="16"/>
      <c r="F5" s="16" t="s">
        <v>11</v>
      </c>
      <c r="G5" s="18" t="s">
        <v>12</v>
      </c>
      <c r="H5" s="16"/>
    </row>
    <row r="6" spans="1:8" s="2" customFormat="1" ht="23.25" customHeight="1">
      <c r="A6" s="19" t="s">
        <v>13</v>
      </c>
      <c r="B6" s="19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20"/>
    </row>
    <row r="7" spans="1:8" s="2" customFormat="1" ht="100.05" customHeight="1">
      <c r="A7" s="27" t="s">
        <v>20</v>
      </c>
      <c r="B7" s="27"/>
      <c r="C7" s="27" t="s">
        <v>21</v>
      </c>
      <c r="D7" s="27">
        <v>4800</v>
      </c>
      <c r="E7" s="27">
        <v>0.47499999999999998</v>
      </c>
      <c r="F7" s="27">
        <f>D7*E7</f>
        <v>2280</v>
      </c>
      <c r="G7" s="27"/>
      <c r="H7" s="20"/>
    </row>
    <row r="8" spans="1:8" s="2" customFormat="1" ht="100.05" customHeight="1">
      <c r="A8" s="27" t="s">
        <v>22</v>
      </c>
      <c r="B8" s="27"/>
      <c r="C8" s="27" t="s">
        <v>23</v>
      </c>
      <c r="D8" s="27">
        <v>4800</v>
      </c>
      <c r="E8" s="27">
        <v>0.47499999999999998</v>
      </c>
      <c r="F8" s="27">
        <f>D8*E8</f>
        <v>2280</v>
      </c>
      <c r="G8" s="27"/>
      <c r="H8" s="20"/>
    </row>
    <row r="9" spans="1:8" s="2" customFormat="1" ht="100.2" customHeight="1">
      <c r="A9" s="27"/>
      <c r="B9" s="27"/>
      <c r="C9" s="31" t="s">
        <v>40</v>
      </c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9600</v>
      </c>
      <c r="E10" s="19"/>
      <c r="F10" s="19">
        <f>SUM(F7:F8)</f>
        <v>4560</v>
      </c>
      <c r="G10" s="19"/>
      <c r="H10" s="21"/>
    </row>
    <row r="11" spans="1:8" s="3" customFormat="1" ht="16.5" customHeight="1">
      <c r="A11" s="21"/>
      <c r="B11" s="22" t="s">
        <v>24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25</v>
      </c>
      <c r="B12" s="25" t="s">
        <v>26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27</v>
      </c>
      <c r="B13" s="25" t="s">
        <v>28</v>
      </c>
      <c r="C13" s="25"/>
      <c r="D13" s="25"/>
      <c r="E13" s="25"/>
      <c r="F13" s="25" t="s">
        <v>29</v>
      </c>
      <c r="G13" s="25" t="s">
        <v>30</v>
      </c>
      <c r="H13" s="25"/>
    </row>
    <row r="14" spans="1:8" s="3" customFormat="1" ht="17.25" customHeight="1">
      <c r="A14" s="25" t="s">
        <v>31</v>
      </c>
      <c r="B14" s="25" t="s">
        <v>32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33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34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35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36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37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 t="s">
        <v>28</v>
      </c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 t="s">
        <v>26</v>
      </c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38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39</v>
      </c>
      <c r="C70" s="13"/>
      <c r="D70" s="13"/>
      <c r="E70" s="15" t="s">
        <v>39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2025-12-16T01:55:15Z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
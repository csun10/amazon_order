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5B83D900-3B18-459A-8D91-AC7E432F7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8" i="1"/>
  <c r="F7" i="1"/>
  <c r="F10" i="1" s="1"/>
</calcChain>
</file>

<file path=xl/sharedStrings.xml><?xml version="1.0" encoding="utf-8"?>
<sst xmlns="http://schemas.openxmlformats.org/spreadsheetml/2006/main" count="42" uniqueCount="40">
  <si>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</si>
  <si>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</si>
  <si>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</si>
  <si>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</si>
  <si>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</si>
  <si>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25AM030-1</t>
  </si>
  <si>
    <t>电话：</t>
  </si>
  <si>
    <t>18067420259</t>
  </si>
  <si>
    <t>日期</t>
  </si>
  <si>
    <t>2025年10月13日</t>
  </si>
  <si>
    <t>联系人：</t>
  </si>
  <si>
    <t>李万祥</t>
  </si>
  <si>
    <t>订单安排人</t>
  </si>
  <si>
    <t>郑遥杰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</si>
  <si>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</si>
  <si>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</si>
  <si>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</si>
  <si>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</si>
  <si>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</si>
  <si>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</si>
  <si>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</si>
  <si>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EEHB-NBB</t>
  </si>
  <si>
    <t>我司提供包装，瑾秀包装，分两次发货</t>
  </si>
  <si>
    <t>EEHB-NBB-4</t>
  </si>
  <si>
    <t>以上价格含税运含包装</t>
  </si>
  <si>
    <t>进仓地址：</t>
  </si>
  <si>
    <t>付款方式:</t>
  </si>
  <si>
    <t>色卡</t>
  </si>
  <si>
    <t>Logo</t>
  </si>
  <si>
    <t>交货时间:</t>
  </si>
  <si>
    <t>2025年11月27日</t>
  </si>
  <si>
    <t>箱规:</t>
  </si>
  <si>
    <t>产前确认样:</t>
  </si>
  <si>
    <t>出货样:</t>
  </si>
  <si>
    <t>注意事项:</t>
  </si>
  <si>
    <t>表面处理干净光滑，不能有划痕，做大货前先确认大货样</t>
  </si>
  <si>
    <t>宁波品秀美容科技有限公司</t>
  </si>
  <si>
    <t>----------------------</t>
  </si>
  <si>
    <r>
      <rPr>
        <sz val="12"/>
        <rFont val="微软雅黑"/>
        <family val="2"/>
        <charset val="134"/>
      </rPr>
      <t>清洁刷，注塑体黑色，植毛黑色尼龙毛，</t>
    </r>
    <r>
      <rPr>
        <sz val="12"/>
        <rFont val="Arial"/>
        <family val="2"/>
      </rPr>
      <t>0.7mm</t>
    </r>
    <r>
      <rPr>
        <sz val="12"/>
        <rFont val="微软雅黑"/>
        <family val="2"/>
        <charset val="134"/>
      </rPr>
      <t>直径，长度</t>
    </r>
    <r>
      <rPr>
        <sz val="12"/>
        <rFont val="Arial"/>
        <family val="2"/>
      </rPr>
      <t>25mm</t>
    </r>
    <r>
      <rPr>
        <sz val="12"/>
        <rFont val="微软雅黑"/>
        <family val="2"/>
        <charset val="134"/>
      </rPr>
      <t>，</t>
    </r>
    <r>
      <rPr>
        <sz val="12"/>
        <rFont val="Arial"/>
        <family val="2"/>
      </rPr>
      <t>JSIUBEATYlogo</t>
    </r>
    <r>
      <rPr>
        <sz val="12"/>
        <rFont val="微软雅黑"/>
        <family val="2"/>
        <charset val="134"/>
      </rPr>
      <t>，产品做哑光，</t>
    </r>
    <r>
      <rPr>
        <sz val="12"/>
        <rFont val="Arial"/>
        <family val="2"/>
      </rPr>
      <t>logo</t>
    </r>
    <r>
      <rPr>
        <sz val="12"/>
        <rFont val="微软雅黑"/>
        <family val="2"/>
        <charset val="134"/>
      </rPr>
      <t>处做亮光。需打样再做货</t>
    </r>
    <phoneticPr fontId="11" type="noConversion"/>
  </si>
  <si>
    <r>
      <rPr>
        <sz val="12"/>
        <rFont val="微软雅黑"/>
        <family val="2"/>
        <charset val="134"/>
      </rPr>
      <t>手柄表面电镀处理尽量光亮，黑色手柄做防静电处理。
气垫颜色（打样确认色），植猪鬃毛，梳针颜色黑色防静电，植</t>
    </r>
    <r>
      <rPr>
        <sz val="12"/>
        <rFont val="Arial"/>
        <family val="2"/>
      </rPr>
      <t>0.8 mm</t>
    </r>
    <r>
      <rPr>
        <sz val="12"/>
        <rFont val="微软雅黑"/>
        <family val="2"/>
        <charset val="134"/>
      </rPr>
      <t xml:space="preserve">细尼龙针染头和梳针颜色一致，染头尽量偏小（视觉效果染头和梳针一体）梳针做防静电处理。
</t>
    </r>
    <r>
      <rPr>
        <sz val="12"/>
        <rFont val="Arial"/>
        <family val="2"/>
      </rPr>
      <t>LOGO</t>
    </r>
    <r>
      <rPr>
        <sz val="12"/>
        <rFont val="微软雅黑"/>
        <family val="2"/>
        <charset val="134"/>
      </rPr>
      <t>：</t>
    </r>
    <r>
      <rPr>
        <sz val="12"/>
        <color rgb="FFFF0000"/>
        <rFont val="Arial"/>
        <family val="2"/>
      </rPr>
      <t xml:space="preserve">ellen evyse </t>
    </r>
    <r>
      <rPr>
        <sz val="12"/>
        <color rgb="FFFF0000"/>
        <rFont val="微软雅黑"/>
        <family val="2"/>
        <charset val="134"/>
      </rPr>
      <t>颜色印金，提供产前样
植毛要求：来回拨动10次 掉毛不超过十根</t>
    </r>
    <r>
      <rPr>
        <sz val="12"/>
        <rFont val="微软雅黑"/>
        <family val="2"/>
        <charset val="134"/>
      </rPr>
      <t xml:space="preserve">
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</si>
</sst>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微软雅黑"/>
      <family val="2"/>
      <charset val="134"/>
    </font>
    <font>
      <sz val="12"/>
      <name val="Arial"/>
      <family val="2"/>
      <charset val="134"/>
    </font>
    <font>
      <sz val="12"/>
      <color rgb="FFFF0000"/>
      <name val="Arial"/>
      <family val="2"/>
    </font>
    <font>
      <sz val="12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914400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266825" cy="12668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2" zoomScale="85" zoomScaleNormal="85" workbookViewId="0">
      <selection activeCell="C8" sqref="C8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1" t="s">
        <v>0</v>
      </c>
      <c r="B1" s="30"/>
      <c r="C1" s="30"/>
      <c r="D1" s="30"/>
      <c r="E1" s="30"/>
      <c r="F1" s="30"/>
      <c r="G1" s="30"/>
      <c r="H1" s="26"/>
    </row>
    <row r="2" spans="1:8" ht="31.5" customHeight="1">
      <c r="A2" s="29" t="s">
        <v>1</v>
      </c>
      <c r="B2" s="30"/>
      <c r="C2" s="30"/>
      <c r="D2" s="30"/>
      <c r="E2" s="30"/>
      <c r="F2" s="30"/>
      <c r="G2" s="30"/>
      <c r="H2" s="30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11</v>
      </c>
      <c r="C5" s="16"/>
      <c r="D5" s="16"/>
      <c r="E5" s="16"/>
      <c r="F5" s="16" t="s">
        <v>12</v>
      </c>
      <c r="G5" s="18" t="s">
        <v>13</v>
      </c>
      <c r="H5" s="16"/>
    </row>
    <row r="6" spans="1:8" s="2" customFormat="1" ht="23.25" customHeight="1">
      <c r="A6" s="19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20"/>
    </row>
    <row r="7" spans="1:8" s="2" customFormat="1" ht="212.4" customHeight="1">
      <c r="A7" s="27" t="s">
        <v>21</v>
      </c>
      <c r="B7" s="27"/>
      <c r="C7" s="28" t="s">
        <v>39</v>
      </c>
      <c r="D7" s="27">
        <v>4800</v>
      </c>
      <c r="E7" s="27">
        <v>13.39</v>
      </c>
      <c r="F7" s="27">
        <f>D7*E7</f>
        <v>64272</v>
      </c>
      <c r="G7" s="27" t="s">
        <v>22</v>
      </c>
      <c r="H7" s="20"/>
    </row>
    <row r="8" spans="1:8" s="2" customFormat="1" ht="100.05" customHeight="1">
      <c r="A8" s="27" t="s">
        <v>23</v>
      </c>
      <c r="B8" s="27"/>
      <c r="C8" s="28" t="s">
        <v>38</v>
      </c>
      <c r="D8" s="27">
        <v>4800</v>
      </c>
      <c r="E8" s="27">
        <v>0.64</v>
      </c>
      <c r="F8" s="27">
        <f>D8*E8</f>
        <v>3072</v>
      </c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9600</v>
      </c>
      <c r="E10" s="19"/>
      <c r="F10" s="19">
        <f>SUM(F7:F8)</f>
        <v>67344</v>
      </c>
      <c r="G10" s="19"/>
      <c r="H10" s="21"/>
    </row>
    <row r="11" spans="1:8" s="3" customFormat="1" ht="16.5" customHeight="1">
      <c r="A11" s="21"/>
      <c r="B11" s="22" t="s">
        <v>24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25</v>
      </c>
      <c r="B12" s="25"/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26</v>
      </c>
      <c r="B13" s="25"/>
      <c r="C13" s="25"/>
      <c r="D13" s="25"/>
      <c r="E13" s="25"/>
      <c r="F13" s="25" t="s">
        <v>27</v>
      </c>
      <c r="G13" s="25" t="s">
        <v>28</v>
      </c>
      <c r="H13" s="25"/>
    </row>
    <row r="14" spans="1:8" s="3" customFormat="1" ht="17.25" customHeight="1">
      <c r="A14" s="25" t="s">
        <v>29</v>
      </c>
      <c r="B14" s="25" t="s">
        <v>30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31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32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33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34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35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36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37</v>
      </c>
      <c r="C70" s="13"/>
      <c r="D70" s="13"/>
      <c r="E70" s="15" t="s">
        <v>37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2025-10-13T06:50:26Z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
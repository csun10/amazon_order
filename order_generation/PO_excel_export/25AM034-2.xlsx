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C67BC823-005F-40AB-B406-61287A86B6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F8" i="1"/>
  <c r="F7" i="1"/>
  <c r="F10" i="1" s="1"/>
</calcChain>
</file>

<file path=xl/sharedStrings.xml><?xml version="1.0" encoding="utf-8"?>
<sst xmlns="http://schemas.openxmlformats.org/spreadsheetml/2006/main" count="45" uniqueCount="41">
  <si>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</si>
  <si>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</si>
  <si>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</si>
  <si>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义乌市一柠饰品有限公司</t>
  </si>
  <si>
    <t>订单号</t>
  </si>
  <si>
    <t>25AM034-2</t>
  </si>
  <si>
    <t>电话：</t>
  </si>
  <si>
    <t>0574-27889688</t>
  </si>
  <si>
    <t>日期</t>
  </si>
  <si>
    <t>2025年11月04日</t>
  </si>
  <si>
    <t>联系人：</t>
  </si>
  <si>
    <t>订单安排人</t>
  </si>
  <si>
    <t>郑遥杰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</si>
  <si>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</si>
  <si>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</si>
  <si>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</si>
  <si>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</si>
  <si>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</si>
  <si>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</si>
  <si>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</si>
  <si>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EEHB-NBB-1C</t>
  </si>
  <si>
    <t>浅咖色</t>
  </si>
  <si>
    <t>EEHB-NBB-1B</t>
  </si>
  <si>
    <t>黑色</t>
  </si>
  <si>
    <t>以上价格含税运含包装</t>
  </si>
  <si>
    <t>进仓地址：</t>
  </si>
  <si>
    <t>瑾秀地址：浙江宁波市余姚市陆埠镇五马工业区创利西路 15 号 多多 15258337865</t>
  </si>
  <si>
    <t>付款方式:</t>
  </si>
  <si>
    <t>开专票，价格已含税运</t>
  </si>
  <si>
    <t>色卡</t>
  </si>
  <si>
    <t>Logo</t>
  </si>
  <si>
    <t>交货时间:</t>
  </si>
  <si>
    <t>2025年11月19日</t>
  </si>
  <si>
    <t>箱规:</t>
  </si>
  <si>
    <t>产前确认样:</t>
  </si>
  <si>
    <t>出货样:</t>
  </si>
  <si>
    <t>注意事项:</t>
  </si>
  <si>
    <t>义乌市一柠饰品有限公司
税号:91330782MA2HQR5A51
对公账号:201000320634668
开户行:浙江义乌农村商业银行股份有限公司鹏城支行</t>
  </si>
  <si>
    <t>宁波品秀美容科技有限公司</t>
  </si>
  <si>
    <t>----------------------</t>
  </si>
  <si>
    <r>
      <rPr>
        <sz val="18"/>
        <color rgb="FFFF0000"/>
        <rFont val="宋体"/>
        <family val="2"/>
        <charset val="134"/>
      </rPr>
      <t xml:space="preserve">每一组一条黑色一条咖色，订纸卡，文案是 </t>
    </r>
    <r>
      <rPr>
        <sz val="18"/>
        <color rgb="FFFF0000"/>
        <rFont val="Arial"/>
        <family val="2"/>
      </rPr>
      <t>nice day for you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</si>
</sst>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8"/>
      <color rgb="FFFF0000"/>
      <name val="宋体"/>
      <family val="2"/>
      <charset val="134"/>
    </font>
    <font>
      <sz val="18"/>
      <color rgb="FFFF0000"/>
      <name val="Arial"/>
      <family val="2"/>
    </font>
    <font>
      <sz val="18"/>
      <color rgb="FFFF0000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562100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1362075" cy="12668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7" zoomScale="85" zoomScaleNormal="85" workbookViewId="0">
      <selection activeCell="G9" sqref="G9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 t="s">
        <v>7</v>
      </c>
      <c r="C4" s="16"/>
      <c r="D4" s="16"/>
      <c r="E4" s="16"/>
      <c r="F4" s="16" t="s">
        <v>8</v>
      </c>
      <c r="G4" s="17" t="s">
        <v>9</v>
      </c>
      <c r="H4" s="16"/>
    </row>
    <row r="5" spans="1:8" s="1" customFormat="1" ht="18.75" customHeight="1">
      <c r="A5" s="16" t="s">
        <v>10</v>
      </c>
      <c r="B5" s="16"/>
      <c r="C5" s="16"/>
      <c r="D5" s="16"/>
      <c r="E5" s="16"/>
      <c r="F5" s="16" t="s">
        <v>11</v>
      </c>
      <c r="G5" s="18" t="s">
        <v>12</v>
      </c>
      <c r="H5" s="16"/>
    </row>
    <row r="6" spans="1:8" s="2" customFormat="1" ht="23.25" customHeight="1">
      <c r="A6" s="19" t="s">
        <v>13</v>
      </c>
      <c r="B6" s="19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20"/>
    </row>
    <row r="7" spans="1:8" s="2" customFormat="1" ht="100.05" customHeight="1">
      <c r="A7" s="27" t="s">
        <v>20</v>
      </c>
      <c r="B7" s="27"/>
      <c r="C7" s="27" t="s">
        <v>21</v>
      </c>
      <c r="D7" s="27">
        <v>6000</v>
      </c>
      <c r="E7" s="27">
        <v>0.47499999999999998</v>
      </c>
      <c r="F7" s="27">
        <f>D7*E7</f>
        <v>2850</v>
      </c>
      <c r="G7" s="27"/>
      <c r="H7" s="20"/>
    </row>
    <row r="8" spans="1:8" s="2" customFormat="1" ht="100.05" customHeight="1">
      <c r="A8" s="27" t="s">
        <v>22</v>
      </c>
      <c r="B8" s="27"/>
      <c r="C8" s="27" t="s">
        <v>23</v>
      </c>
      <c r="D8" s="27">
        <v>6000</v>
      </c>
      <c r="E8" s="27">
        <v>0.47499999999999998</v>
      </c>
      <c r="F8" s="27">
        <f>D8*E8</f>
        <v>2850</v>
      </c>
      <c r="G8" s="27"/>
      <c r="H8" s="20"/>
    </row>
    <row r="9" spans="1:8" s="2" customFormat="1" ht="100.2" customHeight="1">
      <c r="A9" s="27"/>
      <c r="B9" s="27"/>
      <c r="C9" s="31" t="s">
        <v>40</v>
      </c>
      <c r="D9" s="27"/>
      <c r="E9" s="27"/>
      <c r="F9" s="27"/>
      <c r="G9" s="27"/>
      <c r="H9" s="20"/>
    </row>
    <row r="10" spans="1:8" s="3" customFormat="1" ht="17.25" customHeight="1">
      <c r="A10" s="19"/>
      <c r="B10" s="19"/>
      <c r="C10" s="19"/>
      <c r="D10" s="19">
        <f>SUM(D7:D9)</f>
        <v>12000</v>
      </c>
      <c r="E10" s="19"/>
      <c r="F10" s="19">
        <f>SUM(F7:F8)</f>
        <v>5700</v>
      </c>
      <c r="G10" s="19"/>
      <c r="H10" s="21"/>
    </row>
    <row r="11" spans="1:8" s="3" customFormat="1" ht="16.5" customHeight="1">
      <c r="A11" s="21"/>
      <c r="B11" s="22" t="s">
        <v>24</v>
      </c>
      <c r="C11" s="23"/>
      <c r="D11" s="23"/>
      <c r="E11" s="24"/>
      <c r="F11" s="23"/>
      <c r="G11" s="23"/>
      <c r="H11" s="23"/>
    </row>
    <row r="12" spans="1:8" s="3" customFormat="1" ht="17.25" customHeight="1">
      <c r="A12" s="25" t="s">
        <v>25</v>
      </c>
      <c r="B12" s="25" t="s">
        <v>26</v>
      </c>
      <c r="C12" s="25"/>
      <c r="D12" s="25"/>
      <c r="E12" s="25"/>
      <c r="F12" s="25"/>
      <c r="G12" s="25"/>
      <c r="H12" s="25"/>
    </row>
    <row r="13" spans="1:8" s="3" customFormat="1" ht="17.25" customHeight="1">
      <c r="A13" s="25" t="s">
        <v>27</v>
      </c>
      <c r="B13" s="25" t="s">
        <v>28</v>
      </c>
      <c r="C13" s="25"/>
      <c r="D13" s="25"/>
      <c r="E13" s="25"/>
      <c r="F13" s="25" t="s">
        <v>29</v>
      </c>
      <c r="G13" s="25" t="s">
        <v>30</v>
      </c>
      <c r="H13" s="25"/>
    </row>
    <row r="14" spans="1:8" s="3" customFormat="1" ht="17.25" customHeight="1">
      <c r="A14" s="25" t="s">
        <v>31</v>
      </c>
      <c r="B14" s="25" t="s">
        <v>32</v>
      </c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33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34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35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>
      <c r="A18" s="25" t="s">
        <v>36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37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 t="s">
        <v>28</v>
      </c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 t="s">
        <v>26</v>
      </c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/>
      <c r="B22" s="25"/>
      <c r="C22" s="25"/>
      <c r="D22" s="25"/>
      <c r="E22" s="25"/>
      <c r="F22" s="25"/>
      <c r="G22" s="25"/>
      <c r="H22" s="25"/>
    </row>
    <row r="23" spans="1:9" s="4" customFormat="1" ht="17.25" customHeight="1">
      <c r="A23" s="25"/>
      <c r="B23" s="25"/>
      <c r="C23" s="25"/>
      <c r="D23" s="25"/>
      <c r="E23" s="25"/>
      <c r="F23" s="25"/>
      <c r="G23" s="25"/>
      <c r="H23" s="25"/>
    </row>
    <row r="24" spans="1:9" s="4" customFormat="1" ht="20.399999999999999" customHeight="1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20.399999999999999" customHeight="1">
      <c r="A25" s="25"/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>
      <c r="H34" s="14"/>
    </row>
    <row r="38" spans="1:8" ht="13.2">
      <c r="H38" s="14"/>
    </row>
    <row r="43" spans="1:8" ht="15.75" customHeight="1">
      <c r="A43" s="10"/>
      <c r="B43" s="12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0"/>
      <c r="B52" s="10"/>
    </row>
    <row r="53" spans="1:2" ht="15.75" customHeight="1">
      <c r="A53" s="11"/>
      <c r="B53" s="11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0"/>
    </row>
    <row r="67" spans="1:8" ht="15.75" customHeight="1">
      <c r="A67" s="10"/>
      <c r="B67" s="12"/>
    </row>
    <row r="69" spans="1:8" ht="17.25" customHeight="1">
      <c r="B69" s="8" t="s">
        <v>38</v>
      </c>
      <c r="C69" s="8"/>
      <c r="D69" s="8"/>
      <c r="E69" s="8" t="s">
        <v>3</v>
      </c>
      <c r="F69" s="9"/>
      <c r="G69" s="14"/>
    </row>
    <row r="70" spans="1:8" ht="23.25" customHeight="1">
      <c r="B70" s="15" t="s">
        <v>39</v>
      </c>
      <c r="C70" s="13"/>
      <c r="D70" s="13"/>
      <c r="E70" s="15" t="s">
        <v>39</v>
      </c>
      <c r="F70" s="13"/>
    </row>
    <row r="80" spans="1:8" ht="13.2">
      <c r="H80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2025-11-04T07:47:35Z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
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72A7E9A0-7915-4183-949A-1899953730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10" i="1" l="1"/>
  <c r="D10" i="1"/>
</calcChain>
</file>

<file path=xl/sharedStrings.xml><?xml version="1.0" encoding="utf-8"?>
<sst xmlns="http://schemas.openxmlformats.org/spreadsheetml/2006/main" count="45" uniqueCount="43">
  <si>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</si>
  <si>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</si>
  <si>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</si>
  <si>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宁波瑾秀制刷科技有限公司</t>
  </si>
  <si>
    <t>订单号</t>
  </si>
  <si>
    <t>25AM029-1</t>
  </si>
  <si>
    <t>电话：</t>
  </si>
  <si>
    <t>15968053236</t>
  </si>
  <si>
    <t>日期</t>
  </si>
  <si>
    <t>2025年10月13日</t>
  </si>
  <si>
    <t>联系人：</t>
  </si>
  <si>
    <t>李万祥</t>
  </si>
  <si>
    <t>订单安排人</t>
  </si>
  <si>
    <t>孙诚昱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</si>
  <si>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</si>
  <si>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</si>
  <si>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</si>
  <si>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</si>
  <si>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</si>
  <si>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</si>
  <si>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</si>
  <si>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以上价格含税运含包装</t>
  </si>
  <si>
    <t>进仓地址：</t>
  </si>
  <si>
    <t>付款方式:</t>
  </si>
  <si>
    <t>凭增值税发票出货后45天付款</t>
  </si>
  <si>
    <t>色卡</t>
  </si>
  <si>
    <t>Logo</t>
  </si>
  <si>
    <t>交货时间:</t>
  </si>
  <si>
    <t>2025年11月27日</t>
  </si>
  <si>
    <t>箱规:</t>
  </si>
  <si>
    <t>产前确认样:</t>
  </si>
  <si>
    <t>出货样:</t>
  </si>
  <si>
    <t>注意事项:</t>
  </si>
  <si>
    <t>玫瑰金和金色各4800</t>
  </si>
  <si>
    <t>产品需贴标并分两次出货</t>
  </si>
  <si>
    <t>外箱唛印刷4面</t>
  </si>
  <si>
    <t>大货样每款每色2只</t>
  </si>
  <si>
    <t>宁波品秀美容科技有限公司</t>
  </si>
  <si>
    <t>----------------------</t>
  </si>
  <si>
    <t>EE212</t>
    <phoneticPr fontId="15" type="noConversion"/>
  </si>
  <si>
    <r>
      <t>直径55mm</t>
    </r>
    <r>
      <rPr>
        <sz val="9"/>
        <rFont val="微软雅黑"/>
        <family val="2"/>
        <charset val="134"/>
      </rPr>
      <t>，尼龙66黑色同OG essential+1%负离子，黑色TPR手柄（最硬）+ELLEN 印字，顶盖黑色，中筒黑色弹性漆+THERMIC 印字，印字颜色同印字寄样，圆孔铝桶</t>
    </r>
    <r>
      <rPr>
        <b/>
        <sz val="9"/>
        <color rgb="FFFF0000"/>
        <rFont val="微软雅黑"/>
        <family val="2"/>
        <charset val="134"/>
      </rPr>
      <t>玫瑰金色</t>
    </r>
    <r>
      <rPr>
        <sz val="9"/>
        <rFont val="微软雅黑"/>
        <family val="2"/>
        <charset val="134"/>
      </rPr>
      <t>电镀同寄样，尾针金色注塑，</t>
    </r>
    <r>
      <rPr>
        <b/>
        <sz val="9"/>
        <rFont val="微软雅黑"/>
        <family val="2"/>
        <charset val="134"/>
      </rPr>
      <t>剪刷丝，穿毛，</t>
    </r>
    <r>
      <rPr>
        <b/>
        <sz val="9"/>
        <color rgb="FFFF0000"/>
        <rFont val="微软雅黑"/>
        <family val="2"/>
        <charset val="134"/>
      </rPr>
      <t>打磨尼龙丝断面边缘(打磨样品需要寄样确认！！）</t>
    </r>
    <r>
      <rPr>
        <sz val="9"/>
        <rFont val="微软雅黑"/>
        <family val="2"/>
        <charset val="134"/>
      </rPr>
      <t>，，尼龙丝出峰1cm ,混丝0.6 +0.5 +0.4mm，尼龙丝品质都要同MO头梳,手柄印logo</t>
    </r>
    <r>
      <rPr>
        <sz val="9"/>
        <color rgb="FFFF0000"/>
        <rFont val="微软雅黑"/>
        <family val="2"/>
        <charset val="134"/>
      </rPr>
      <t>.</t>
    </r>
    <r>
      <rPr>
        <sz val="9"/>
        <rFont val="微软雅黑"/>
        <family val="2"/>
        <charset val="134"/>
      </rPr>
      <t xml:space="preserve"> 和EE214进纸卡盒包装，套opp袋，两只装附带4只发夹。</t>
    </r>
    <r>
      <rPr>
        <sz val="9"/>
        <color rgb="FFFF0000"/>
        <rFont val="微软雅黑"/>
        <family val="2"/>
        <charset val="134"/>
      </rPr>
      <t>尾针电镀玫瑰金色</t>
    </r>
    <phoneticPr fontId="15" type="noConversion"/>
  </si>
  <si>
    <t>EE214</t>
    <phoneticPr fontId="15" type="noConversion"/>
  </si>
  <si>
    <r>
      <t>直径35mm</t>
    </r>
    <r>
      <rPr>
        <sz val="9"/>
        <rFont val="微软雅黑"/>
        <family val="2"/>
        <charset val="134"/>
      </rPr>
      <t>，尼龙66黑色同OG essential+1%负离子，黑色TPR手柄（最硬）+ELLEN 印字，顶盖黑色，中筒黑色弹性漆+THERMIC 印字，印字颜色同印字寄样，圆孔</t>
    </r>
    <r>
      <rPr>
        <b/>
        <sz val="9"/>
        <color rgb="FFFF0000"/>
        <rFont val="微软雅黑"/>
        <family val="2"/>
        <charset val="134"/>
      </rPr>
      <t>铝桶玫瑰色电镀</t>
    </r>
    <r>
      <rPr>
        <sz val="9"/>
        <rFont val="微软雅黑"/>
        <family val="2"/>
        <charset val="134"/>
      </rPr>
      <t>同寄样，尾针金色注塑，</t>
    </r>
    <r>
      <rPr>
        <b/>
        <sz val="9"/>
        <rFont val="微软雅黑"/>
        <family val="2"/>
        <charset val="134"/>
      </rPr>
      <t>剪刷丝，穿毛，</t>
    </r>
    <r>
      <rPr>
        <b/>
        <sz val="9"/>
        <color rgb="FFFF0000"/>
        <rFont val="微软雅黑"/>
        <family val="2"/>
        <charset val="134"/>
      </rPr>
      <t>打磨尼龙丝断面边缘(打磨样品需要寄样确认！！）</t>
    </r>
    <r>
      <rPr>
        <sz val="9"/>
        <rFont val="微软雅黑"/>
        <family val="2"/>
        <charset val="134"/>
      </rPr>
      <t>，，尼龙丝出峰1cm ,混丝0.6 +0.5 +0.4mm，尼龙丝品质都要同MO头梳,手柄印logo</t>
    </r>
    <r>
      <rPr>
        <sz val="9"/>
        <color rgb="FFFF0000"/>
        <rFont val="微软雅黑"/>
        <family val="2"/>
        <charset val="134"/>
      </rPr>
      <t>.</t>
    </r>
    <r>
      <rPr>
        <sz val="9"/>
        <rFont val="微软雅黑"/>
        <family val="2"/>
        <charset val="134"/>
      </rPr>
      <t xml:space="preserve"> 和EE214进纸卡盒包装，套opp袋，两只装附带4只发夹。</t>
    </r>
    <r>
      <rPr>
        <sz val="9"/>
        <color rgb="FFFF0000"/>
        <rFont val="微软雅黑"/>
        <family val="2"/>
        <charset val="134"/>
      </rPr>
      <t>尾针电镀玫瑰金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</si>
</sst>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￥&quot;#,##0.00;&quot;￥&quot;\-#,##0.00"/>
  </numFmts>
  <fonts count="21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  <font>
      <sz val="9"/>
      <color rgb="FFFF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9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16" fillId="0" borderId="3" xfId="0" applyFont="1" applyBorder="1" applyAlignment="1">
      <alignment horizontal="left" vertical="center" wrapText="1"/>
    </xf>
    <xf numFmtId="1" fontId="20" fillId="0" borderId="3" xfId="0" applyNumberFormat="1" applyFont="1" applyBorder="1" applyAlignment="1">
      <alignment horizontal="center" vertical="center" shrinkToFit="1"/>
    </xf>
    <xf numFmtId="176" fontId="14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289416</xdr:colOff>
      <xdr:row>6</xdr:row>
      <xdr:rowOff>467962</xdr:rowOff>
    </xdr:from>
    <xdr:to>
      <xdr:col>1</xdr:col>
      <xdr:colOff>2157943</xdr:colOff>
      <xdr:row>6</xdr:row>
      <xdr:rowOff>1161378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74B0C60-E380-4AB4-93FC-FCFFD935C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916878" y="2354665"/>
          <a:ext cx="693416" cy="1868527"/>
        </a:xfrm>
        <a:prstGeom prst="rect">
          <a:avLst/>
        </a:prstGeom>
      </xdr:spPr>
    </xdr:pic>
    <xdr:clientData/>
  </xdr:twoCellAnchor>
  <xdr:oneCellAnchor>
    <xdr:from>
      <xdr:col>1</xdr:col>
      <xdr:colOff>114305</xdr:colOff>
      <xdr:row>7</xdr:row>
      <xdr:rowOff>449583</xdr:rowOff>
    </xdr:from>
    <xdr:ext cx="1868527" cy="533396"/>
    <xdr:pic>
      <xdr:nvPicPr>
        <xdr:cNvPr id="4" name="图片 3">
          <a:extLst>
            <a:ext uri="{FF2B5EF4-FFF2-40B4-BE49-F238E27FC236}">
              <a16:creationId xmlns:a16="http://schemas.microsoft.com/office/drawing/2014/main" id="{A30301C3-4E82-49FB-8E2A-2D70E2E2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498151" y="4529277"/>
          <a:ext cx="533396" cy="186852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7" zoomScale="85" zoomScaleNormal="85" workbookViewId="0">
      <selection activeCell="G7" sqref="G7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>
      <c r="A5" s="16" t="s">
        <v>10</v>
      </c>
      <c r="B5" s="16" t="s">
        <v>11</v>
      </c>
      <c r="C5" s="16"/>
      <c r="D5" s="16"/>
      <c r="E5" s="16"/>
      <c r="F5" s="16" t="s">
        <v>12</v>
      </c>
      <c r="G5" s="18" t="s">
        <v>13</v>
      </c>
      <c r="H5" s="16"/>
    </row>
    <row r="6" spans="1:8" s="2" customFormat="1" ht="23.25" customHeight="1">
      <c r="A6" s="19" t="s">
        <v>14</v>
      </c>
      <c r="B6" s="19" t="s">
        <v>15</v>
      </c>
      <c r="C6" s="19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20"/>
    </row>
    <row r="7" spans="1:8" s="36" customFormat="1" ht="159.6" customHeight="1">
      <c r="A7" s="31" t="s">
        <v>39</v>
      </c>
      <c r="B7" s="32"/>
      <c r="C7" s="33" t="s">
        <v>40</v>
      </c>
      <c r="D7" s="34">
        <v>2400</v>
      </c>
      <c r="E7" s="35">
        <v>10.66</v>
      </c>
      <c r="F7" s="35">
        <f>E7*D7</f>
        <v>25584</v>
      </c>
    </row>
    <row r="8" spans="1:8" s="36" customFormat="1" ht="139.19999999999999" customHeight="1">
      <c r="A8" s="31" t="s">
        <v>41</v>
      </c>
      <c r="B8" s="32"/>
      <c r="C8" s="33" t="s">
        <v>42</v>
      </c>
      <c r="D8" s="34">
        <v>2400</v>
      </c>
      <c r="E8" s="35">
        <v>7.72</v>
      </c>
      <c r="F8" s="35">
        <f t="shared" ref="F8" si="0">E8*D8</f>
        <v>18528</v>
      </c>
    </row>
    <row r="9" spans="1:8" s="2" customFormat="1" ht="100.2" customHeight="1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>
      <c r="A10" s="19"/>
      <c r="B10" s="19"/>
      <c r="C10" s="19"/>
      <c r="D10" s="19">
        <f>SUM(D7:D9)</f>
        <v>4800</v>
      </c>
      <c r="E10" s="19"/>
      <c r="F10" s="19">
        <f>SUM(F7:F8)</f>
        <v>44112</v>
      </c>
      <c r="G10" s="19"/>
      <c r="H10" s="21"/>
    </row>
    <row r="11" spans="1:8" s="3" customFormat="1" ht="16.5" customHeight="1">
      <c r="A11" s="21"/>
      <c r="B11" s="22" t="s">
        <v>21</v>
      </c>
      <c r="C11" s="23"/>
      <c r="D11" s="23"/>
      <c r="E11" s="24"/>
      <c r="F11" s="23"/>
      <c r="G11" s="23"/>
      <c r="H11" s="23"/>
    </row>
    <row r="12" spans="1:8" s="3" customFormat="1" ht="17.25" customHeight="1">
      <c r="A12" s="25" t="s">
        <v>22</v>
      </c>
      <c r="B12" s="25"/>
      <c r="C12" s="25"/>
      <c r="D12" s="25"/>
      <c r="E12" s="25"/>
      <c r="F12" s="25"/>
      <c r="G12" s="25"/>
      <c r="H12" s="25"/>
    </row>
    <row r="13" spans="1:8" s="3" customFormat="1" ht="17.25" customHeight="1">
      <c r="A13" s="25" t="s">
        <v>23</v>
      </c>
      <c r="B13" s="25" t="s">
        <v>24</v>
      </c>
      <c r="C13" s="25"/>
      <c r="D13" s="25"/>
      <c r="E13" s="25"/>
      <c r="F13" s="25" t="s">
        <v>25</v>
      </c>
      <c r="G13" s="25" t="s">
        <v>26</v>
      </c>
      <c r="H13" s="25"/>
    </row>
    <row r="14" spans="1:8" s="3" customFormat="1" ht="17.25" customHeight="1">
      <c r="A14" s="25" t="s">
        <v>27</v>
      </c>
      <c r="B14" s="25" t="s">
        <v>28</v>
      </c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29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30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31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>
      <c r="A18" s="25" t="s">
        <v>32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33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 t="s">
        <v>34</v>
      </c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 t="s">
        <v>35</v>
      </c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 t="s">
        <v>36</v>
      </c>
      <c r="B22" s="25"/>
      <c r="C22" s="25"/>
      <c r="D22" s="25"/>
      <c r="E22" s="25"/>
      <c r="F22" s="25"/>
      <c r="G22" s="25"/>
      <c r="H22" s="25"/>
    </row>
    <row r="23" spans="1:9" s="4" customFormat="1" ht="17.25" customHeight="1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399999999999999" customHeight="1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>
      <c r="H34" s="14"/>
    </row>
    <row r="38" spans="1:8" ht="13.2">
      <c r="H38" s="14"/>
    </row>
    <row r="43" spans="1:8" ht="15.75" customHeight="1">
      <c r="A43" s="10"/>
      <c r="B43" s="12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0"/>
      <c r="B52" s="10"/>
    </row>
    <row r="53" spans="1:2" ht="15.75" customHeight="1">
      <c r="A53" s="11"/>
      <c r="B53" s="11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0"/>
    </row>
    <row r="67" spans="1:8" ht="15.75" customHeight="1">
      <c r="A67" s="10"/>
      <c r="B67" s="12"/>
    </row>
    <row r="69" spans="1:8" ht="17.25" customHeight="1">
      <c r="B69" s="8" t="s">
        <v>37</v>
      </c>
      <c r="C69" s="8"/>
      <c r="D69" s="8"/>
      <c r="E69" s="8" t="s">
        <v>3</v>
      </c>
      <c r="F69" s="9"/>
      <c r="G69" s="14"/>
    </row>
    <row r="70" spans="1:8" ht="23.25" customHeight="1">
      <c r="B70" s="15" t="s">
        <v>38</v>
      </c>
      <c r="C70" s="13"/>
      <c r="D70" s="13"/>
      <c r="E70" s="15" t="s">
        <v>38</v>
      </c>
      <c r="F70" s="13"/>
    </row>
    <row r="80" spans="1:8" ht="13.2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2025-10-13T02:50:05Z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